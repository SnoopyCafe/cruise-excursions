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parison" sheetId="1" state="visible" r:id="rId3"/>
    <sheet name="Read M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<sst xmlns="http://schemas.openxmlformats.org/spreadsheetml/2006/main" count="118" uniqueCount="101">
  <si>
    <t xml:space="preserve">Cruise Excursions vs. Local Alternatives  -  Allure of the Seas (Aug 22, 2026)</t>
  </si>
  <si>
    <t xml:space="preserve">Ship prices are exactly as listed on your site. Local prices are PER PERSON (from); 'Est. 2 Adults' = local pp x 2. 'Est. Savings' compares the ship's listed price to two adults booking direct. CocoCay omitted (private island - no independent operators).</t>
  </si>
  <si>
    <t xml:space="preserve">Port</t>
  </si>
  <si>
    <t xml:space="preserve">Ship Excursion</t>
  </si>
  <si>
    <t xml:space="preserve">Activity
Level (1-10)</t>
  </si>
  <si>
    <t xml:space="preserve">Ship Price
($, as listed)</t>
  </si>
  <si>
    <t xml:space="preserve">Local Alternative</t>
  </si>
  <si>
    <t xml:space="preserve">Local $/Person
(from)</t>
  </si>
  <si>
    <t xml:space="preserve">Local Est.
2 Adults ($)</t>
  </si>
  <si>
    <t xml:space="preserve">Est. Savings
2 Adults ($)</t>
  </si>
  <si>
    <t xml:space="preserve">Rating (★)</t>
  </si>
  <si>
    <t xml:space="preserve">Description</t>
  </si>
  <si>
    <t xml:space="preserve">Booking / Source</t>
  </si>
  <si>
    <t xml:space="preserve">St. Kitts</t>
  </si>
  <si>
    <t xml:space="preserve">Scenic Railway + Island Tour</t>
  </si>
  <si>
    <t xml:space="preserve">St. Kitts Scenic Railway (book direct)</t>
  </si>
  <si>
    <t xml:space="preserve">Identical train the cruise line resells. 30-mi narrow-gauge loop, open-air deck, drinks, coach return. ~$89-91.50 pp.</t>
  </si>
  <si>
    <t xml:space="preserve">https://www.viator.com/tours/St-Kitts/St-Kitts-Scenic-Railway-Tour/d930-5226RAIL</t>
  </si>
  <si>
    <t xml:space="preserve">Deluxe Catamaran Sail &amp; Snorkel</t>
  </si>
  <si>
    <t xml:space="preserve">Blue Water Safaris</t>
  </si>
  <si>
    <t xml:space="preserve">Island's leading charter (est. 1996). Half-day snorkel ~$49.50-79; full-day Nevis $99 w/ open bar + lunch. Direct booking saves $50-100/pp.</t>
  </si>
  <si>
    <t xml:space="preserve">https://bluewatersafaris.com/</t>
  </si>
  <si>
    <t xml:space="preserve">Beach &amp; Snorkeling Excursion</t>
  </si>
  <si>
    <t xml:space="preserve">DIY taxi to Frigate Bay / Reggae Beach Bar</t>
  </si>
  <si>
    <t xml:space="preserve">Beach entry free; pay only taxi (~$20-30) + drinks. Calm clear water, beach bars, chair rentals, easy snorkeling.</t>
  </si>
  <si>
    <t xml:space="preserve">Self-guided (port taxi)</t>
  </si>
  <si>
    <t xml:space="preserve">Rainforest Hiking Tour</t>
  </si>
  <si>
    <t xml:space="preserve">Greg's Safaris / local guides</t>
  </si>
  <si>
    <t xml:space="preserve">Guided Central Forest Reserve walk; vervet monkeys, medicinal plants, fruit + water. ~$50-70 pp.</t>
  </si>
  <si>
    <t xml:space="preserve">https://www.viator.com/St-Kitts-attractions/Mt-Liamuiga/d930-a3689</t>
  </si>
  <si>
    <t xml:space="preserve">Mount Liamuiga Volcano Hike</t>
  </si>
  <si>
    <t xml:space="preserve">Poinciana Safari Tours / local guides</t>
  </si>
  <si>
    <t xml:space="preserve">6-hr summit trek to island's highest point. A/C minivan transfer, port pickup, water, local snacks. $69-109 pp.</t>
  </si>
  <si>
    <t xml:space="preserve">https://www.viator.com/tours/St-Kitts/Hiking-Mount-Liamuga-Volcano-in-St-Kitts/d930-7577P1</t>
  </si>
  <si>
    <t xml:space="preserve">Zip Line Adventure Park</t>
  </si>
  <si>
    <t xml:space="preserve">Sky Safari Tours (only zipline on island)</t>
  </si>
  <si>
    <t xml:space="preserve">5 lines, longest 1,350 ft / 250 ft up over Wingfield rainforest at a historic rum estate. ~$105 pp (+~$40 transport). Same park the ship uses.</t>
  </si>
  <si>
    <t xml:space="preserve">https://www.tripadvisor.com/AttractionProductReview-g147374-d20025008-Fly_Walk_St_Kitts_Sky_Safari_Zipline-St_Kitts_St_Kitts_and_Nevis.html</t>
  </si>
  <si>
    <t xml:space="preserve">St. Maarten</t>
  </si>
  <si>
    <t xml:space="preserve">Pinel Island Ferry &amp; Snorkel</t>
  </si>
  <si>
    <t xml:space="preserve">DIY ferry from Cul-de-Sac</t>
  </si>
  <si>
    <t xml:space="preserve">10-min ferry ~$7 round trip (+~$25 taxi from port). Calm snorkel beach w/ turtles; rent gear on island. Guided powerboat combo ~$89 if preferred.</t>
  </si>
  <si>
    <t xml:space="preserve">Self-guided (Cul-de-Sac ferry)</t>
  </si>
  <si>
    <t xml:space="preserve">Catamaran to Tintamarre Island</t>
  </si>
  <si>
    <t xml:space="preserve">SXM catamaran cruises (The Phoenix, etc.)</t>
  </si>
  <si>
    <t xml:space="preserve">Sail to uninhabited Tintamarre; snorkel w/ turtles, open bar + lunch, beach time. From $65-120 pp.</t>
  </si>
  <si>
    <t xml:space="preserve">https://www.viator.com/St-Maarten-tours/Catamaran-Cruises/d728-g3-c32016</t>
  </si>
  <si>
    <t xml:space="preserve">Island Highlights + Maho Beach</t>
  </si>
  <si>
    <t xml:space="preserve">Bernard's Tours</t>
  </si>
  <si>
    <t xml:space="preserve">4-hr both-sides island tour (French + Dutch), top-1% rated. Maho plane-spotting beach is free to visit solo.</t>
  </si>
  <si>
    <t xml:space="preserve">https://www.bernardstours.com/</t>
  </si>
  <si>
    <t xml:space="preserve">Grand Island Speedboat &amp; Snorkel</t>
  </si>
  <si>
    <t xml:space="preserve">3-Island powerboat snorkel</t>
  </si>
  <si>
    <t xml:space="preserve">4-hr power-boat tour to reefs, Tintamarre + Pinel; gear/snacks/drinks included. Port transport ~$14.</t>
  </si>
  <si>
    <t xml:space="preserve">https://stmaartencruiseexcursions.com/excursions/three-island-snorkeling/</t>
  </si>
  <si>
    <t xml:space="preserve">ATV Off-Road Island Tour</t>
  </si>
  <si>
    <t xml:space="preserve">Bernard's / Sonesta ATV tour</t>
  </si>
  <si>
    <t xml:space="preserve">Off-road on a 400cc ATV to Orient Bay and hidden spots, both sides of the island. ~$90-120 pp.</t>
  </si>
  <si>
    <t xml:space="preserve">Flying Dutchman + Zipline Combo</t>
  </si>
  <si>
    <t xml:space="preserve">Rainforest Adventures, Rockland Estate (direct)</t>
  </si>
  <si>
    <t xml:space="preserve">The ship version IS this park. World's steepest zipline + Sky Explorer chairlift, schooner tube ride, museum. $99-109 pp direct.</t>
  </si>
  <si>
    <t xml:space="preserve">https://rainforestadventure.com/</t>
  </si>
  <si>
    <t xml:space="preserve">San Juan</t>
  </si>
  <si>
    <t xml:space="preserve">Old San Juan Food &amp; Walking Tour</t>
  </si>
  <si>
    <t xml:space="preserve">Spoon Food Tours (or Flavors of San Juan ~$89)</t>
  </si>
  <si>
    <t xml:space="preserve">3-hr small-group OSJ walk; chef-curated tastings (mofongo, ceviche) + history. 2,350+ reviews. Flavors of San Juan ~$89 is a cheaper alt.</t>
  </si>
  <si>
    <t xml:space="preserve">https://thespoonexperience.com/</t>
  </si>
  <si>
    <t xml:space="preserve">Cultural Walking Tour</t>
  </si>
  <si>
    <t xml:space="preserve">Free/tip-based walking tour or local guide</t>
  </si>
  <si>
    <t xml:space="preserve">Self-guided or local-guide stroll of OSJ forts, plazas, colonial streets. $0-45 pp. The city is compact and walkable.</t>
  </si>
  <si>
    <t xml:space="preserve">Self-guided / tip-based</t>
  </si>
  <si>
    <t xml:space="preserve">Bioluminescent Bay Night Tour</t>
  </si>
  <si>
    <t xml:space="preserve">Fajardo (Laguna Grande) kayak - Kayaking PR</t>
  </si>
  <si>
    <t xml:space="preserve">Guided night kayak through mangroves to glowing Laguna Grande. $65 kayak-only / ~$125 w/ San Juan transport. NOTE: ~1 hr from port + after dark - needs a late ship departure.</t>
  </si>
  <si>
    <t xml:space="preserve">https://www.viator.com/tours/Fajardo/Glowing-Bay-Adventure/d23854-180426P1</t>
  </si>
  <si>
    <t xml:space="preserve">El Yunque Rainforest &amp; Waterfalls</t>
  </si>
  <si>
    <t xml:space="preserve">El Yunque half-day guided tour</t>
  </si>
  <si>
    <t xml:space="preserve">Hike the only US National rainforest - natural pools, waterfalls, jungle trails w/ local guide. From $25-67 pp.</t>
  </si>
  <si>
    <t xml:space="preserve">https://www.viator.com/tours/Fajardo/Half-Day-El-Yunque-waterslide/d23854-358368P3</t>
  </si>
  <si>
    <t xml:space="preserve">El Yunque Waterslide Adventure</t>
  </si>
  <si>
    <t xml:space="preserve">El Yunque waterslide + rope swing tour</t>
  </si>
  <si>
    <t xml:space="preserve">Hike to natural rock waterslides, rope swing, cliff jumping, waterfalls w/ trained guides. $25-67 pp.</t>
  </si>
  <si>
    <t xml:space="preserve">Luquillo Beach &amp; Kiosks</t>
  </si>
  <si>
    <t xml:space="preserve">DIY taxi/publico to Luquillo</t>
  </si>
  <si>
    <t xml:space="preserve">Palm-fringed crescent bay + famous food kiosks. Beach free; kiosk food cheap. Often a free stop on El Yunque tours.</t>
  </si>
  <si>
    <t xml:space="preserve">Self-guided (port taxi/publico)</t>
  </si>
  <si>
    <t xml:space="preserve">TOTAL (if all 18 booked)</t>
  </si>
  <si>
    <t xml:space="preserve">How to read this spreadsheet</t>
  </si>
  <si>
    <t xml:space="preserve">- Ship Price ($, as listed): taken directly from your excursions site. The site's pricing unit is ambiguous, so treat these as the headline figures to beat.</t>
  </si>
  <si>
    <t xml:space="preserve">- Local $/Person (from): the lowest typical per-person price to book that experience directly with a local operator (or DIY).</t>
  </si>
  <si>
    <t xml:space="preserve">- Local Est. 2 Adults: local per-person price x 2 (formula).</t>
  </si>
  <si>
    <t xml:space="preserve">- Est. Savings 2 Adults: Ship listed price minus local 2-adult estimate (formula). Green = you save.</t>
  </si>
  <si>
    <t xml:space="preserve">- Ratings blend TripAdvisor and Google/aggregate scores gathered in June 2026; review counts noted in the Description where confirmed.</t>
  </si>
  <si>
    <t xml:space="preserve">Timing &amp; logistics</t>
  </si>
  <si>
    <t xml:space="preserve">- Independent tours mean YOU must return before all-aboard. Operators advertising 'cruise-friendly / never late' (the Railway, Blue Water Safaris, Bernard's Tours) are the safest bets.</t>
  </si>
  <si>
    <t xml:space="preserve">- The Fajardo bioluminescent bay is ~1 hr from San Juan and runs after dark - only feasible if the ship departs late. Verify your port hours before booking.</t>
  </si>
  <si>
    <t xml:space="preserve">- St. Kitts docked Day 2 (7:00 am - 1:00 pm); St. Maarten Day 3 (1:00 pm - 10:00 pm). Add a feasibility check once San Juan hours are known.</t>
  </si>
  <si>
    <t xml:space="preserve">Biggest no-brainer savings</t>
  </si>
  <si>
    <t xml:space="preserve">- St. Kitts Scenic Railway, St. Kitts Zip Line, and St. Maarten's Flying Dutchman are the EXACT products the ship resells - book direct.</t>
  </si>
  <si>
    <t xml:space="preserve">- Pinel Island and Luquillo Beach are nearly free to do yourself.</t>
  </si>
  <si>
    <t xml:space="preserve">Prices and availability change - confirm on each operator's site before booking. Not affiliated with Royal Caribbean.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</si>
</sst>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;&quot;($&quot;#,##0\);\-"/>
    <numFmt numFmtId="166" formatCode="0.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6F6B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1B7A35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1B7A35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2"/>
      <color rgb="FF1F6F6B"/>
      <name val="Arial"/>
      <family val="0"/>
      <charset val="1"/>
    </font>
    <font>
      <i val="true"/>
      <sz val="9"/>
      <color rgb="FF888888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6F6B"/>
        <bgColor rgb="FF1B7A35"/>
      </patternFill>
    </fill>
    <fill>
      <patternFill patternType="solid">
        <fgColor rgb="FFE9F3EC"/>
        <bgColor rgb="FFEAF0F8"/>
      </patternFill>
    </fill>
    <fill>
      <patternFill patternType="solid">
        <fgColor rgb="FFFBF1E0"/>
        <bgColor rgb="FFE9F3EC"/>
      </patternFill>
    </fill>
    <fill>
      <patternFill patternType="solid">
        <fgColor rgb="FFEAF0F8"/>
        <bgColor rgb="FFE9F3EC"/>
      </patternFill>
    </fill>
    <fill>
      <patternFill patternType="solid">
        <fgColor rgb="FFD6EAE8"/>
        <bgColor rgb="FFE9F3E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7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7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8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7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7A35"/>
      <rgbColor rgb="FF000080"/>
      <rgbColor rgb="FF808000"/>
      <rgbColor rgb="FF800080"/>
      <rgbColor rgb="FF1F6F6B"/>
      <rgbColor rgb="FFBBBBBB"/>
      <rgbColor rgb="FF888888"/>
      <rgbColor rgb="FF9999FF"/>
      <rgbColor rgb="FF993366"/>
      <rgbColor rgb="FFFBF1E0"/>
      <rgbColor rgb="FFD6EA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9F3EC"/>
      <rgbColor rgb="FFEAF0F8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0"/>
    <col collapsed="false" customWidth="true" hidden="false" outlineLevel="0" max="3" min="3" style="0" width="9"/>
    <col collapsed="false" customWidth="true" hidden="false" outlineLevel="0" max="4" min="4" style="0" width="11"/>
    <col collapsed="false" customWidth="true" hidden="false" outlineLevel="0" max="5" min="5" style="0" width="30"/>
    <col collapsed="false" customWidth="true" hidden="false" outlineLevel="0" max="6" min="6" style="0" width="12"/>
    <col collapsed="false" customWidth="true" hidden="false" outlineLevel="0" max="8" min="7" style="0" width="11"/>
    <col collapsed="false" customWidth="true" hidden="false" outlineLevel="0" max="9" min="9" style="0" width="9"/>
    <col collapsed="false" customWidth="true" hidden="false" outlineLevel="0" max="10" min="10" style="0" width="52"/>
    <col collapsed="false" customWidth="true" hidden="false" outlineLevel="0" max="11" min="11" style="0" width="40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30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42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</row>
    <row r="4" customFormat="false" ht="57.75" hidden="false" customHeight="true" outlineLevel="0" collapsed="false">
      <c r="A4" s="4" t="s">
        <v>13</v>
      </c>
      <c r="B4" s="4" t="s">
        <v>14</v>
      </c>
      <c r="C4" s="5" t="n">
        <v>2</v>
      </c>
      <c r="D4" s="6" t="n">
        <v>300</v>
      </c>
      <c r="E4" s="4" t="s">
        <v>15</v>
      </c>
      <c r="F4" s="6" t="n">
        <v>89</v>
      </c>
      <c r="G4" s="6" t="n">
        <f aca="false">F4*2</f>
        <v>178</v>
      </c>
      <c r="H4" s="7" t="n">
        <f aca="false">D4-G4</f>
        <v>122</v>
      </c>
      <c r="I4" s="8" t="n">
        <v>4.5</v>
      </c>
      <c r="J4" s="4" t="s">
        <v>16</v>
      </c>
      <c r="K4" s="4" t="s">
        <v>17</v>
      </c>
    </row>
    <row r="5" customFormat="false" ht="57.75" hidden="false" customHeight="true" outlineLevel="0" collapsed="false">
      <c r="A5" s="4" t="s">
        <v>13</v>
      </c>
      <c r="B5" s="4" t="s">
        <v>18</v>
      </c>
      <c r="C5" s="5" t="n">
        <v>3</v>
      </c>
      <c r="D5" s="6" t="n">
        <v>240</v>
      </c>
      <c r="E5" s="4" t="s">
        <v>19</v>
      </c>
      <c r="F5" s="6" t="n">
        <v>49.5</v>
      </c>
      <c r="G5" s="6" t="n">
        <f aca="false">F5*2</f>
        <v>99</v>
      </c>
      <c r="H5" s="7" t="n">
        <f aca="false">D5-G5</f>
        <v>141</v>
      </c>
      <c r="I5" s="8" t="n">
        <v>4.9</v>
      </c>
      <c r="J5" s="4" t="s">
        <v>20</v>
      </c>
      <c r="K5" s="4" t="s">
        <v>21</v>
      </c>
    </row>
    <row r="6" customFormat="false" ht="57.75" hidden="false" customHeight="true" outlineLevel="0" collapsed="false">
      <c r="A6" s="4" t="s">
        <v>13</v>
      </c>
      <c r="B6" s="4" t="s">
        <v>22</v>
      </c>
      <c r="C6" s="5" t="n">
        <v>3</v>
      </c>
      <c r="D6" s="6" t="n">
        <v>180</v>
      </c>
      <c r="E6" s="4" t="s">
        <v>23</v>
      </c>
      <c r="F6" s="6" t="n">
        <v>25</v>
      </c>
      <c r="G6" s="6" t="n">
        <f aca="false">F6*2</f>
        <v>50</v>
      </c>
      <c r="H6" s="7" t="n">
        <f aca="false">D6-G6</f>
        <v>130</v>
      </c>
      <c r="I6" s="8" t="n">
        <v>4.5</v>
      </c>
      <c r="J6" s="4" t="s">
        <v>24</v>
      </c>
      <c r="K6" s="4" t="s">
        <v>25</v>
      </c>
    </row>
    <row r="7" customFormat="false" ht="57.75" hidden="false" customHeight="true" outlineLevel="0" collapsed="false">
      <c r="A7" s="4" t="s">
        <v>13</v>
      </c>
      <c r="B7" s="4" t="s">
        <v>26</v>
      </c>
      <c r="C7" s="5" t="n">
        <v>5</v>
      </c>
      <c r="D7" s="6" t="n">
        <v>150</v>
      </c>
      <c r="E7" s="4" t="s">
        <v>27</v>
      </c>
      <c r="F7" s="6" t="n">
        <v>50</v>
      </c>
      <c r="G7" s="6" t="n">
        <f aca="false">F7*2</f>
        <v>100</v>
      </c>
      <c r="H7" s="7" t="n">
        <f aca="false">D7-G7</f>
        <v>50</v>
      </c>
      <c r="I7" s="8" t="n">
        <v>4.7</v>
      </c>
      <c r="J7" s="4" t="s">
        <v>28</v>
      </c>
      <c r="K7" s="4" t="s">
        <v>29</v>
      </c>
    </row>
    <row r="8" customFormat="false" ht="57.75" hidden="false" customHeight="true" outlineLevel="0" collapsed="false">
      <c r="A8" s="4" t="s">
        <v>13</v>
      </c>
      <c r="B8" s="4" t="s">
        <v>30</v>
      </c>
      <c r="C8" s="5" t="n">
        <v>8</v>
      </c>
      <c r="D8" s="6" t="n">
        <v>320</v>
      </c>
      <c r="E8" s="4" t="s">
        <v>31</v>
      </c>
      <c r="F8" s="6" t="n">
        <v>69</v>
      </c>
      <c r="G8" s="6" t="n">
        <f aca="false">F8*2</f>
        <v>138</v>
      </c>
      <c r="H8" s="7" t="n">
        <f aca="false">D8-G8</f>
        <v>182</v>
      </c>
      <c r="I8" s="8" t="n">
        <v>4.5</v>
      </c>
      <c r="J8" s="4" t="s">
        <v>32</v>
      </c>
      <c r="K8" s="4" t="s">
        <v>33</v>
      </c>
    </row>
    <row r="9" customFormat="false" ht="57.75" hidden="false" customHeight="true" outlineLevel="0" collapsed="false">
      <c r="A9" s="4" t="s">
        <v>13</v>
      </c>
      <c r="B9" s="4" t="s">
        <v>34</v>
      </c>
      <c r="C9" s="5" t="n">
        <v>7</v>
      </c>
      <c r="D9" s="6" t="n">
        <v>280</v>
      </c>
      <c r="E9" s="4" t="s">
        <v>35</v>
      </c>
      <c r="F9" s="6" t="n">
        <v>105</v>
      </c>
      <c r="G9" s="6" t="n">
        <f aca="false">F9*2</f>
        <v>210</v>
      </c>
      <c r="H9" s="7" t="n">
        <f aca="false">D9-G9</f>
        <v>70</v>
      </c>
      <c r="I9" s="8" t="n">
        <v>4.5</v>
      </c>
      <c r="J9" s="4" t="s">
        <v>36</v>
      </c>
      <c r="K9" s="4" t="s">
        <v>37</v>
      </c>
    </row>
    <row r="10" customFormat="false" ht="57.75" hidden="false" customHeight="true" outlineLevel="0" collapsed="false">
      <c r="A10" s="9" t="s">
        <v>38</v>
      </c>
      <c r="B10" s="9" t="s">
        <v>39</v>
      </c>
      <c r="C10" s="10" t="n">
        <v>2</v>
      </c>
      <c r="D10" s="11" t="n">
        <v>120</v>
      </c>
      <c r="E10" s="9" t="s">
        <v>40</v>
      </c>
      <c r="F10" s="11" t="n">
        <v>7</v>
      </c>
      <c r="G10" s="11" t="n">
        <f aca="false">F10*2</f>
        <v>14</v>
      </c>
      <c r="H10" s="12" t="n">
        <f aca="false">D10-G10</f>
        <v>106</v>
      </c>
      <c r="I10" s="13" t="n">
        <v>4.7</v>
      </c>
      <c r="J10" s="9" t="s">
        <v>41</v>
      </c>
      <c r="K10" s="9" t="s">
        <v>42</v>
      </c>
    </row>
    <row r="11" customFormat="false" ht="57.75" hidden="false" customHeight="true" outlineLevel="0" collapsed="false">
      <c r="A11" s="9" t="s">
        <v>38</v>
      </c>
      <c r="B11" s="9" t="s">
        <v>43</v>
      </c>
      <c r="C11" s="10" t="n">
        <v>3</v>
      </c>
      <c r="D11" s="11" t="n">
        <v>260</v>
      </c>
      <c r="E11" s="9" t="s">
        <v>44</v>
      </c>
      <c r="F11" s="11" t="n">
        <v>65</v>
      </c>
      <c r="G11" s="11" t="n">
        <f aca="false">F11*2</f>
        <v>130</v>
      </c>
      <c r="H11" s="12" t="n">
        <f aca="false">D11-G11</f>
        <v>130</v>
      </c>
      <c r="I11" s="13" t="n">
        <v>5</v>
      </c>
      <c r="J11" s="9" t="s">
        <v>45</v>
      </c>
      <c r="K11" s="9" t="s">
        <v>46</v>
      </c>
    </row>
    <row r="12" customFormat="false" ht="57.75" hidden="false" customHeight="true" outlineLevel="0" collapsed="false">
      <c r="A12" s="9" t="s">
        <v>38</v>
      </c>
      <c r="B12" s="9" t="s">
        <v>47</v>
      </c>
      <c r="C12" s="10" t="n">
        <v>5</v>
      </c>
      <c r="D12" s="11" t="n">
        <v>180</v>
      </c>
      <c r="E12" s="9" t="s">
        <v>48</v>
      </c>
      <c r="F12" s="11" t="n">
        <v>55</v>
      </c>
      <c r="G12" s="11" t="n">
        <f aca="false">F12*2</f>
        <v>110</v>
      </c>
      <c r="H12" s="12" t="n">
        <f aca="false">D12-G12</f>
        <v>70</v>
      </c>
      <c r="I12" s="13" t="n">
        <v>5</v>
      </c>
      <c r="J12" s="9" t="s">
        <v>49</v>
      </c>
      <c r="K12" s="9" t="s">
        <v>50</v>
      </c>
    </row>
    <row r="13" customFormat="false" ht="57.75" hidden="false" customHeight="true" outlineLevel="0" collapsed="false">
      <c r="A13" s="9" t="s">
        <v>38</v>
      </c>
      <c r="B13" s="9" t="s">
        <v>51</v>
      </c>
      <c r="C13" s="10" t="n">
        <v>5</v>
      </c>
      <c r="D13" s="11" t="n">
        <v>210</v>
      </c>
      <c r="E13" s="9" t="s">
        <v>52</v>
      </c>
      <c r="F13" s="11" t="n">
        <v>89</v>
      </c>
      <c r="G13" s="11" t="n">
        <f aca="false">F13*2</f>
        <v>178</v>
      </c>
      <c r="H13" s="12" t="n">
        <f aca="false">D13-G13</f>
        <v>32</v>
      </c>
      <c r="I13" s="13" t="n">
        <v>4.7</v>
      </c>
      <c r="J13" s="9" t="s">
        <v>53</v>
      </c>
      <c r="K13" s="9" t="s">
        <v>54</v>
      </c>
    </row>
    <row r="14" customFormat="false" ht="57.75" hidden="false" customHeight="true" outlineLevel="0" collapsed="false">
      <c r="A14" s="9" t="s">
        <v>38</v>
      </c>
      <c r="B14" s="9" t="s">
        <v>55</v>
      </c>
      <c r="C14" s="10" t="n">
        <v>7</v>
      </c>
      <c r="D14" s="11" t="n">
        <v>200</v>
      </c>
      <c r="E14" s="9" t="s">
        <v>56</v>
      </c>
      <c r="F14" s="11" t="n">
        <v>90</v>
      </c>
      <c r="G14" s="11" t="n">
        <f aca="false">F14*2</f>
        <v>180</v>
      </c>
      <c r="H14" s="12" t="n">
        <f aca="false">D14-G14</f>
        <v>20</v>
      </c>
      <c r="I14" s="13" t="n">
        <v>4.5</v>
      </c>
      <c r="J14" s="9" t="s">
        <v>57</v>
      </c>
      <c r="K14" s="9" t="s">
        <v>50</v>
      </c>
    </row>
    <row r="15" customFormat="false" ht="57.75" hidden="false" customHeight="true" outlineLevel="0" collapsed="false">
      <c r="A15" s="9" t="s">
        <v>38</v>
      </c>
      <c r="B15" s="9" t="s">
        <v>58</v>
      </c>
      <c r="C15" s="10" t="n">
        <v>9</v>
      </c>
      <c r="D15" s="11" t="n">
        <v>340</v>
      </c>
      <c r="E15" s="9" t="s">
        <v>59</v>
      </c>
      <c r="F15" s="11" t="n">
        <v>99</v>
      </c>
      <c r="G15" s="11" t="n">
        <f aca="false">F15*2</f>
        <v>198</v>
      </c>
      <c r="H15" s="12" t="n">
        <f aca="false">D15-G15</f>
        <v>142</v>
      </c>
      <c r="I15" s="13" t="n">
        <v>4</v>
      </c>
      <c r="J15" s="9" t="s">
        <v>60</v>
      </c>
      <c r="K15" s="9" t="s">
        <v>61</v>
      </c>
    </row>
    <row r="16" customFormat="false" ht="57.75" hidden="false" customHeight="true" outlineLevel="0" collapsed="false">
      <c r="A16" s="14" t="s">
        <v>62</v>
      </c>
      <c r="B16" s="14" t="s">
        <v>63</v>
      </c>
      <c r="C16" s="15" t="n">
        <v>2</v>
      </c>
      <c r="D16" s="16" t="n">
        <v>330</v>
      </c>
      <c r="E16" s="14" t="s">
        <v>64</v>
      </c>
      <c r="F16" s="16" t="n">
        <v>161</v>
      </c>
      <c r="G16" s="16" t="n">
        <f aca="false">F16*2</f>
        <v>322</v>
      </c>
      <c r="H16" s="17" t="n">
        <f aca="false">D16-G16</f>
        <v>8</v>
      </c>
      <c r="I16" s="18" t="n">
        <v>4.9</v>
      </c>
      <c r="J16" s="14" t="s">
        <v>65</v>
      </c>
      <c r="K16" s="14" t="s">
        <v>66</v>
      </c>
    </row>
    <row r="17" customFormat="false" ht="57.75" hidden="false" customHeight="true" outlineLevel="0" collapsed="false">
      <c r="A17" s="14" t="s">
        <v>62</v>
      </c>
      <c r="B17" s="14" t="s">
        <v>67</v>
      </c>
      <c r="C17" s="15" t="n">
        <v>3</v>
      </c>
      <c r="D17" s="16" t="n">
        <v>140</v>
      </c>
      <c r="E17" s="14" t="s">
        <v>68</v>
      </c>
      <c r="F17" s="16" t="n">
        <v>0</v>
      </c>
      <c r="G17" s="16" t="n">
        <f aca="false">F17*2</f>
        <v>0</v>
      </c>
      <c r="H17" s="17" t="n">
        <f aca="false">D17-G17</f>
        <v>140</v>
      </c>
      <c r="I17" s="18" t="n">
        <v>4.6</v>
      </c>
      <c r="J17" s="14" t="s">
        <v>69</v>
      </c>
      <c r="K17" s="14" t="s">
        <v>70</v>
      </c>
    </row>
    <row r="18" customFormat="false" ht="57.75" hidden="false" customHeight="true" outlineLevel="0" collapsed="false">
      <c r="A18" s="14" t="s">
        <v>62</v>
      </c>
      <c r="B18" s="14" t="s">
        <v>71</v>
      </c>
      <c r="C18" s="15" t="n">
        <v>4</v>
      </c>
      <c r="D18" s="16" t="n">
        <v>280</v>
      </c>
      <c r="E18" s="14" t="s">
        <v>72</v>
      </c>
      <c r="F18" s="16" t="n">
        <v>65</v>
      </c>
      <c r="G18" s="16" t="n">
        <f aca="false">F18*2</f>
        <v>130</v>
      </c>
      <c r="H18" s="17" t="n">
        <f aca="false">D18-G18</f>
        <v>150</v>
      </c>
      <c r="I18" s="18" t="n">
        <v>4.8</v>
      </c>
      <c r="J18" s="14" t="s">
        <v>73</v>
      </c>
      <c r="K18" s="14" t="s">
        <v>74</v>
      </c>
    </row>
    <row r="19" customFormat="false" ht="57.75" hidden="false" customHeight="true" outlineLevel="0" collapsed="false">
      <c r="A19" s="14" t="s">
        <v>62</v>
      </c>
      <c r="B19" s="14" t="s">
        <v>75</v>
      </c>
      <c r="C19" s="15" t="n">
        <v>7</v>
      </c>
      <c r="D19" s="16" t="n">
        <v>220</v>
      </c>
      <c r="E19" s="14" t="s">
        <v>76</v>
      </c>
      <c r="F19" s="16" t="n">
        <v>25</v>
      </c>
      <c r="G19" s="16" t="n">
        <f aca="false">F19*2</f>
        <v>50</v>
      </c>
      <c r="H19" s="17" t="n">
        <f aca="false">D19-G19</f>
        <v>170</v>
      </c>
      <c r="I19" s="18" t="n">
        <v>4.8</v>
      </c>
      <c r="J19" s="14" t="s">
        <v>77</v>
      </c>
      <c r="K19" s="14" t="s">
        <v>78</v>
      </c>
    </row>
    <row r="20" customFormat="false" ht="57.75" hidden="false" customHeight="true" outlineLevel="0" collapsed="false">
      <c r="A20" s="14" t="s">
        <v>62</v>
      </c>
      <c r="B20" s="14" t="s">
        <v>79</v>
      </c>
      <c r="C20" s="15" t="n">
        <v>9</v>
      </c>
      <c r="D20" s="16" t="n">
        <v>290</v>
      </c>
      <c r="E20" s="14" t="s">
        <v>80</v>
      </c>
      <c r="F20" s="16" t="n">
        <v>25</v>
      </c>
      <c r="G20" s="16" t="n">
        <f aca="false">F20*2</f>
        <v>50</v>
      </c>
      <c r="H20" s="17" t="n">
        <f aca="false">D20-G20</f>
        <v>240</v>
      </c>
      <c r="I20" s="18" t="n">
        <v>4.9</v>
      </c>
      <c r="J20" s="14" t="s">
        <v>81</v>
      </c>
      <c r="K20" s="14" t="s">
        <v>78</v>
      </c>
    </row>
    <row r="21" customFormat="false" ht="57.75" hidden="false" customHeight="true" outlineLevel="0" collapsed="false">
      <c r="A21" s="14" t="s">
        <v>62</v>
      </c>
      <c r="B21" s="14" t="s">
        <v>82</v>
      </c>
      <c r="C21" s="15" t="n">
        <v>2</v>
      </c>
      <c r="D21" s="16" t="n">
        <v>95</v>
      </c>
      <c r="E21" s="14" t="s">
        <v>83</v>
      </c>
      <c r="F21" s="16" t="n">
        <v>0</v>
      </c>
      <c r="G21" s="16" t="n">
        <f aca="false">F21*2</f>
        <v>0</v>
      </c>
      <c r="H21" s="17" t="n">
        <f aca="false">D21-G21</f>
        <v>95</v>
      </c>
      <c r="I21" s="18" t="n">
        <v>4.5</v>
      </c>
      <c r="J21" s="14" t="s">
        <v>84</v>
      </c>
      <c r="K21" s="14" t="s">
        <v>85</v>
      </c>
    </row>
    <row r="22" customFormat="false" ht="19.5" hidden="false" customHeight="true" outlineLevel="0" collapsed="false">
      <c r="A22" s="19"/>
      <c r="B22" s="19" t="s">
        <v>86</v>
      </c>
      <c r="C22" s="19"/>
      <c r="D22" s="20" t="n">
        <f aca="false">SUM(D4:D21)</f>
        <v>4135</v>
      </c>
      <c r="E22" s="19"/>
      <c r="F22" s="19"/>
      <c r="G22" s="20" t="n">
        <f aca="false">SUM(G4:G21)</f>
        <v>2137</v>
      </c>
      <c r="H22" s="21" t="n">
        <f aca="false">SUM(H4:H21)</f>
        <v>1998</v>
      </c>
      <c r="I22" s="19"/>
      <c r="J22" s="19"/>
      <c r="K22" s="19"/>
    </row>
  </sheetData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7.35" hidden="false" customHeight="false" outlineLevel="0" collapsed="false">
      <c r="A1" s="22" t="s">
        <v>87</v>
      </c>
    </row>
    <row r="2" customFormat="false" ht="15" hidden="false" customHeight="false" outlineLevel="0" collapsed="false">
      <c r="A2" s="23"/>
    </row>
    <row r="3" customFormat="false" ht="15" hidden="false" customHeight="false" outlineLevel="0" collapsed="false">
      <c r="A3" s="23" t="s">
        <v>88</v>
      </c>
    </row>
    <row r="4" customFormat="false" ht="15" hidden="false" customHeight="false" outlineLevel="0" collapsed="false">
      <c r="A4" s="23" t="s">
        <v>89</v>
      </c>
    </row>
    <row r="5" customFormat="false" ht="15" hidden="false" customHeight="false" outlineLevel="0" collapsed="false">
      <c r="A5" s="23" t="s">
        <v>90</v>
      </c>
    </row>
    <row r="6" customFormat="false" ht="15" hidden="false" customHeight="false" outlineLevel="0" collapsed="false">
      <c r="A6" s="23" t="s">
        <v>91</v>
      </c>
    </row>
    <row r="7" customFormat="false" ht="15" hidden="false" customHeight="false" outlineLevel="0" collapsed="false">
      <c r="A7" s="23" t="s">
        <v>92</v>
      </c>
    </row>
    <row r="8" customFormat="false" ht="15" hidden="false" customHeight="false" outlineLevel="0" collapsed="false">
      <c r="A8" s="23"/>
    </row>
    <row r="9" customFormat="false" ht="15" hidden="false" customHeight="false" outlineLevel="0" collapsed="false">
      <c r="A9" s="24" t="s">
        <v>93</v>
      </c>
    </row>
    <row r="10" customFormat="false" ht="23.85" hidden="false" customHeight="false" outlineLevel="0" collapsed="false">
      <c r="A10" s="23" t="s">
        <v>94</v>
      </c>
    </row>
    <row r="11" customFormat="false" ht="23.85" hidden="false" customHeight="false" outlineLevel="0" collapsed="false">
      <c r="A11" s="23" t="s">
        <v>95</v>
      </c>
    </row>
    <row r="12" customFormat="false" ht="15" hidden="false" customHeight="false" outlineLevel="0" collapsed="false">
      <c r="A12" s="23" t="s">
        <v>96</v>
      </c>
    </row>
    <row r="13" customFormat="false" ht="15" hidden="false" customHeight="false" outlineLevel="0" collapsed="false">
      <c r="A13" s="23"/>
    </row>
    <row r="14" customFormat="false" ht="15" hidden="false" customHeight="false" outlineLevel="0" collapsed="false">
      <c r="A14" s="24" t="s">
        <v>97</v>
      </c>
    </row>
    <row r="15" customFormat="false" ht="15" hidden="false" customHeight="false" outlineLevel="0" collapsed="false">
      <c r="A15" s="23" t="s">
        <v>98</v>
      </c>
    </row>
    <row r="16" customFormat="false" ht="15" hidden="false" customHeight="false" outlineLevel="0" collapsed="false">
      <c r="A16" s="23" t="s">
        <v>99</v>
      </c>
    </row>
    <row r="17" customFormat="false" ht="15" hidden="false" customHeight="false" outlineLevel="0" collapsed="false">
      <c r="A17" s="23"/>
    </row>
    <row r="18" customFormat="false" ht="15" hidden="false" customHeight="false" outlineLevel="0" collapsed="false">
      <c r="A18" s="25" t="s"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2026-06-06T18:35:19Z</dcterms:created>
  <dc:creator>openpyxl</dc:creator>
  <dc:description/>
  <dc:language>en-US</dc:language>
  <cp:lastModifiedBy/>
  <dcterms:modified xsi:type="dcterms:W3CDTF">2026-06-06T18:35:20Z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